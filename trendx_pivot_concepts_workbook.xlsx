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ec897ab36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49d6a7e34144bdf"/>
    <x:sheet xmlns:r="http://schemas.openxmlformats.org/officeDocument/2006/relationships" name="Pivot Calculator" sheetId="2" r:id="R7d769d7c8e9242a4"/>
    <x:sheet xmlns:r="http://schemas.openxmlformats.org/officeDocument/2006/relationships" name="Concepts" sheetId="3" r:id="R1208d633e9e04131"/>
    <x:sheet xmlns:r="http://schemas.openxmlformats.org/officeDocument/2006/relationships" name="Setups &amp; Rules" sheetId="4" r:id="R00cbfc928feb498e"/>
    <x:sheet xmlns:r="http://schemas.openxmlformats.org/officeDocument/2006/relationships" name="Scoring" sheetId="5" r:id="Rb77b2242bbf34b1a"/>
    <x:sheet xmlns:r="http://schemas.openxmlformats.org/officeDocument/2006/relationships" name="Glossary" sheetId="6" r:id="R12c2199b5113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92400E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f470cf1fc454a" /><Relationship Type="http://schemas.openxmlformats.org/officeDocument/2006/relationships/theme" Target="/xl/theme/theme1.xml" Id="Re074c543a47a4103" /><Relationship Type="http://schemas.microsoft.com/office/2022/11/relationships/FeaturePropertyBag" Target="/xl/featurePropertyBag/featurePropertyBag.xml" Id="Rab012d6ca99f4402" /><Relationship Type="http://schemas.openxmlformats.org/officeDocument/2006/relationships/sharedStrings" Target="/xl/sharedStrings.xml" Id="R58e32155dced4181" /><Relationship Type="http://schemas.openxmlformats.org/officeDocument/2006/relationships/worksheet" Target="/xl/worksheets/sheet1.xml" Id="Re49d6a7e34144bdf" /><Relationship Type="http://schemas.openxmlformats.org/officeDocument/2006/relationships/worksheet" Target="/xl/worksheets/sheet2.xml" Id="R7d769d7c8e9242a4" /><Relationship Type="http://schemas.openxmlformats.org/officeDocument/2006/relationships/worksheet" Target="/xl/worksheets/sheet3.xml" Id="R1208d633e9e04131" /><Relationship Type="http://schemas.openxmlformats.org/officeDocument/2006/relationships/worksheet" Target="/xl/worksheets/sheet4.xml" Id="R00cbfc928feb498e" /><Relationship Type="http://schemas.openxmlformats.org/officeDocument/2006/relationships/worksheet" Target="/xl/worksheets/sheet5.xml" Id="Rb77b2242bbf34b1a" /><Relationship Type="http://schemas.openxmlformats.org/officeDocument/2006/relationships/worksheet" Target="/xl/worksheets/sheet6.xml" Id="R12c2199b511347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03cedbb16044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Example Score Contributions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'Scoring'!$A$23:$A$27</c:f>
              <c:strCache>
                <c:ptCount val="0"/>
              </c:strCache>
            </c:strRef>
          </c:cat>
          <c:val>
            <c:numRef>
              <c:f>'Scoring'!$B$23:$B$27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'Scoring'!$A$23:$A$27</c:f>
              <c:strCache>
                <c:ptCount val="0"/>
              </c:strCache>
            </c:strRef>
          </c:cat>
          <c:val>
            <c:numRef>
              <c:f>'Scoring'!$C$23:$C$27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'Scoring'!$A$23:$A$27</c:f>
              <c:strCache>
                <c:ptCount val="0"/>
              </c:strCache>
            </c:strRef>
          </c:cat>
          <c:val>
            <c:numRef>
              <c:f>'Scoring'!$D$23:$D$27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03cedbb160448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shboardSheets" displayName="DashboardSheets" ref="A5:C10" headerRowCount="1">
  <x:tableColumns count="3">
    <x:tableColumn id="1" name="Sheet"/>
    <x:tableColumn id="2" name="Purpose"/>
    <x:tableColumn id="3" name="Key Outputs"/>
  </x:tableColumns>
  <x:tableStyleInfo name="TableStyleMedium2" showRowStripes="1"/>
</x:table>
</file>

<file path=xl/tables/table2.xml><?xml version="1.0" encoding="utf-8"?>
<x:table xmlns:x="http://schemas.openxmlformats.org/spreadsheetml/2006/main" id="2" name="ConceptsTable" displayName="ConceptsTable" ref="A3:F14" headerRowCount="1">
  <x:tableColumns count="6">
    <x:tableColumn id="1" name="Concept"/>
    <x:tableColumn id="2" name="Formula / Detection"/>
    <x:tableColumn id="3" name="Best Use"/>
    <x:tableColumn id="4" name="Bullish Interpretation"/>
    <x:tableColumn id="5" name="Bearish Interpretation"/>
    <x:tableColumn id="6" name="Implementation Notes"/>
  </x:tableColumns>
  <x:tableStyleInfo name="TableStyleMedium2" showRowStripes="1"/>
</x:table>
</file>

<file path=xl/tables/table3.xml><?xml version="1.0" encoding="utf-8"?>
<x:table xmlns:x="http://schemas.openxmlformats.org/spreadsheetml/2006/main" id="3" name="SetupsTable" displayName="SetupsTable" ref="A3:H13" headerRowCount="1">
  <x:tableColumns count="8">
    <x:tableColumn id="1" name="Setup"/>
    <x:tableColumn id="2" name="Market Context"/>
    <x:tableColumn id="3" name="Detection Rules"/>
    <x:tableColumn id="4" name="Entry Trigger"/>
    <x:tableColumn id="5" name="Stop Loss"/>
    <x:tableColumn id="6" name="TP1"/>
    <x:tableColumn id="7" name="TP2"/>
    <x:tableColumn id="8" name="TP3"/>
  </x:tableColumns>
  <x:tableStyleInfo name="TableStyleMedium2" showRowStripes="1"/>
</x:table>
</file>

<file path=xl/tables/table4.xml><?xml version="1.0" encoding="utf-8"?>
<x:table xmlns:x="http://schemas.openxmlformats.org/spreadsheetml/2006/main" id="4" name="ScoringTable" displayName="ScoringTable" ref="A3:D17" headerRowCount="1">
  <x:tableColumns count="4">
    <x:tableColumn id="1" name="Factor"/>
    <x:tableColumn id="2" name="Condition"/>
    <x:tableColumn id="3" name="Points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GlossaryTable" displayName="GlossaryTable" ref="A3:D15" headerRowCount="1">
  <x:tableColumns count="4">
    <x:tableColumn id="1" name="Term"/>
    <x:tableColumn id="2" name="Meaning"/>
    <x:tableColumn id="3" name="Best Us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567c2909d0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6d5bb9f650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79447aa49a44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83e52efa30b4027" /><Relationship Type="http://schemas.openxmlformats.org/officeDocument/2006/relationships/table" Target="/xl/tables/table4.xml" Id="R8463e005494746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5eb6f3dfc44b5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28" hidden="0" customWidth="1"/>
    <x:col min="5" max="5" width="28" hidden="0" customWidth="1"/>
    <x:col min="6" max="6" width="24" hidden="0" customWidth="1"/>
    <x:col min="7" max="7" width="32" hidden="0" customWidth="1"/>
    <x:col min="8" max="8" width="24" hidden="0" customWidth="1"/>
    <x:col min="9" max="9" width="22" hidden="0" customWidth="1"/>
    <x:col min="10" max="10" width="28" hidden="0" customWidth="1"/>
    <x:col min="11" max="11" width="18" hidden="0" customWidth="1"/>
    <x:col min="12" max="12" width="32" hidden="0" customWidth="1"/>
  </x:cols>
  <x:sheetData>
    <x:row r="1" ht="28" customHeight="1">
      <x:c r="A1" s="48" t="str">
        <x:v>TrendX + Pivot Boss Workbook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3">
      <x:c r="A3" s="10" t="str">
        <x:v>Workbook purpose</x:v>
      </x:c>
      <x:c r="B3" s="10" t="str">
        <x:v>Use this workbook to understand and prototype CPR, Floor Pivots, Camarilla, DPZ, GPZ, MTZ, Value Migration/FVR, scoring, and entry/exit logic.</x:v>
      </x:c>
      <x:c r="C3" s="10" t="str"/>
      <x:c r="D3" s="10" t="str"/>
      <x:c r="E3" s="10" t="str"/>
      <x:c r="F3" s="10" t="str"/>
      <x:c r="G3" s="10" t="str"/>
      <x:c r="H3" s="10" t="str"/>
    </x:row>
    <x:row r="5">
      <x:c r="A5" s="16" t="str">
        <x:v>Sheet</x:v>
      </x:c>
      <x:c r="B5" s="16" t="str">
        <x:v>Purpose</x:v>
      </x:c>
      <x:c r="C5" s="16" t="str">
        <x:v>Key Outputs</x:v>
      </x:c>
      <x:c r="D5" s="16" t="str"/>
      <x:c r="E5" s="16" t="str"/>
      <x:c r="F5" s="16" t="str"/>
      <x:c r="G5" s="16" t="str"/>
      <x:c r="H5" s="16" t="str"/>
    </x:row>
    <x:row r="6">
      <x:c r="A6" s="10" t="str">
        <x:v>Pivot Calculator</x:v>
      </x:c>
      <x:c r="B6" s="10" t="str">
        <x:v>Interactive example calculations from OHLC inputs.</x:v>
      </x:c>
      <x:c r="C6" s="10" t="str">
        <x:v>CPR, Floor Pivots, Camarilla, Money Zone, width, relationships.</x:v>
      </x:c>
    </x:row>
    <x:row r="7">
      <x:c r="A7" s="10" t="str">
        <x:v>Concepts</x:v>
      </x:c>
      <x:c r="B7" s="10" t="str">
        <x:v>Formal definitions and formulas.</x:v>
      </x:c>
      <x:c r="C7" s="10" t="str">
        <x:v>Clear concept-level explanations.</x:v>
      </x:c>
    </x:row>
    <x:row r="8">
      <x:c r="A8" s="10" t="str">
        <x:v>Setups &amp; Rules</x:v>
      </x:c>
      <x:c r="B8" s="10" t="str">
        <x:v>Trade setup rules and logic.</x:v>
      </x:c>
      <x:c r="C8" s="10" t="str">
        <x:v>Bias, DPZ, GPZ, MTZ, FVR entries/exits.</x:v>
      </x:c>
    </x:row>
    <x:row r="9">
      <x:c r="A9" s="10" t="str">
        <x:v>Scoring</x:v>
      </x:c>
      <x:c r="B9" s="10" t="str">
        <x:v>Scoring model to rank opportunities.</x:v>
      </x:c>
      <x:c r="C9" s="10" t="str">
        <x:v>Quantified setup confidence.</x:v>
      </x:c>
    </x:row>
    <x:row r="10">
      <x:c r="A10" s="10" t="str">
        <x:v>Glossary</x:v>
      </x:c>
      <x:c r="B10" s="10" t="str">
        <x:v>Quick reference.</x:v>
      </x:c>
      <x:c r="C10" s="10" t="str">
        <x:v>Terminology and source notes.</x:v>
      </x:c>
    </x:row>
    <x:row r="12">
      <x:c r="A12" s="24" t="str">
        <x:v>Core idea: value and pivots are zones, not single lines. Use ATR dilation, CPR relationships, and price rejection/acceptance to validate setups.</x:v>
      </x:c>
    </x:row>
  </x:sheetData>
  <x:mergeCells>
    <x:mergeCell ref="A1:H1"/>
    <x:mergeCell ref="A12:H12"/>
  </x:mergeCells>
  <x:pageMargins left="0.7" right="0.7" top="0.75" bottom="0.75" header="0.3" footer="0.3"/>
  <x:tableParts count="1">
    <x:tablePart xmlns:r="http://schemas.openxmlformats.org/officeDocument/2006/relationships" r:id="R13567c2909d044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28" hidden="0" customWidth="1"/>
    <x:col min="5" max="5" width="28" hidden="0" customWidth="1"/>
    <x:col min="6" max="6" width="24" hidden="0" customWidth="1"/>
    <x:col min="7" max="7" width="32" hidden="0" customWidth="1"/>
    <x:col min="8" max="8" width="24" hidden="0" customWidth="1"/>
    <x:col min="9" max="9" width="22" hidden="0" customWidth="1"/>
    <x:col min="10" max="10" width="28" hidden="0" customWidth="1"/>
    <x:col min="11" max="11" width="18" hidden="0" customWidth="1"/>
    <x:col min="12" max="12" width="32" hidden="0" customWidth="1"/>
  </x:cols>
  <x:sheetData>
    <x:row r="1" ht="28" customHeight="1">
      <x:c r="A1" s="48" t="str">
        <x:v>Pivot Calculator — Example Inputs, Formulas &amp; Signal Zones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3">
      <x:c r="A3" s="16" t="str">
        <x:v>Input</x:v>
      </x:c>
      <x:c r="B3" s="16" t="str">
        <x:v>Value</x:v>
      </x:c>
      <x:c r="D3" s="16" t="str">
        <x:v>Concept</x:v>
      </x:c>
      <x:c r="E3" s="16" t="str">
        <x:v>Formula / Level</x:v>
      </x:c>
      <x:c r="F3" s="16" t="str">
        <x:v>Result</x:v>
      </x:c>
      <x:c r="G3" s="16" t="str">
        <x:v>Explanation</x:v>
      </x:c>
      <x:c r="I3" s="16" t="str">
        <x:v>Camarilla / Value</x:v>
      </x:c>
      <x:c r="J3" s="16" t="str">
        <x:v>Formula</x:v>
      </x:c>
      <x:c r="K3" s="16" t="str">
        <x:v>Result</x:v>
      </x:c>
      <x:c r="L3" s="16" t="str">
        <x:v>Explanation</x:v>
      </x:c>
    </x:row>
    <x:row r="4">
      <x:c r="A4" s="30" t="str">
        <x:v>High</x:v>
      </x:c>
      <x:c r="B4" s="34" t="n">
        <x:v>4600</x:v>
      </x:c>
      <x:c r="D4" s="30" t="str">
        <x:v>Pivot P</x:v>
      </x:c>
      <x:c r="E4" s="10" t="str">
        <x:v>=(High+Low+Close)/3</x:v>
      </x:c>
      <x:c r="F4" s="36" t="n">
        <x:f>($B$4+$B$5+$B$6)/3</x:f>
        <x:v>4533.333333333333</x:v>
      </x:c>
      <x:c r="G4" s="10" t="str">
        <x:v>Central pivot point.</x:v>
      </x:c>
      <x:c r="I4" s="30" t="str">
        <x:v>Range</x:v>
      </x:c>
      <x:c r="J4" s="10" t="str">
        <x:v>=High-Low</x:v>
      </x:c>
      <x:c r="K4" s="36" t="n">
        <x:f>$B$4-$B$5</x:f>
        <x:v>120</x:v>
      </x:c>
      <x:c r="L4" s="10" t="str">
        <x:v>Prior period range.</x:v>
      </x:c>
    </x:row>
    <x:row r="5">
      <x:c r="A5" s="30" t="str">
        <x:v>Low</x:v>
      </x:c>
      <x:c r="B5" s="34" t="n">
        <x:v>4480</x:v>
      </x:c>
      <x:c r="D5" s="30" t="str">
        <x:v>BC</x:v>
      </x:c>
      <x:c r="E5" s="10" t="str">
        <x:v>=(High+Low)/2</x:v>
      </x:c>
      <x:c r="F5" s="36" t="n">
        <x:f>($B$4+$B$5)/2</x:f>
        <x:v>4540</x:v>
      </x:c>
      <x:c r="G5" s="10" t="str">
        <x:v>Bottom Central of CPR.</x:v>
      </x:c>
      <x:c r="I5" s="30" t="str">
        <x:v>H3</x:v>
      </x:c>
      <x:c r="J5" s="10" t="str">
        <x:v>=Close + Range*1.1/4</x:v>
      </x:c>
      <x:c r="K5" s="36" t="n">
        <x:f>$B$6+$K$4*1.1/4</x:f>
        <x:v>4553</x:v>
      </x:c>
      <x:c r="L5" s="10" t="str">
        <x:v>Responsive sell / rotation level.</x:v>
      </x:c>
    </x:row>
    <x:row r="6">
      <x:c r="A6" s="30" t="str">
        <x:v>Close</x:v>
      </x:c>
      <x:c r="B6" s="34" t="n">
        <x:v>4520</x:v>
      </x:c>
      <x:c r="D6" s="30" t="str">
        <x:v>TC</x:v>
      </x:c>
      <x:c r="E6" s="10" t="str">
        <x:v>=2*P-BC</x:v>
      </x:c>
      <x:c r="F6" s="36" t="n">
        <x:f>2*F4-F5</x:f>
        <x:v>4526.666666666666</x:v>
      </x:c>
      <x:c r="G6" s="10" t="str">
        <x:v>Top Central of CPR. Use min/max to order CPR zone if needed.</x:v>
      </x:c>
      <x:c r="I6" s="30" t="str">
        <x:v>L3</x:v>
      </x:c>
      <x:c r="J6" s="10" t="str">
        <x:v>=Close - Range*1.1/4</x:v>
      </x:c>
      <x:c r="K6" s="36" t="n">
        <x:f>$B$6-$K$4*1.1/4</x:f>
        <x:v>4487</x:v>
      </x:c>
      <x:c r="L6" s="10" t="str">
        <x:v>Responsive buy / rotation level.</x:v>
      </x:c>
    </x:row>
    <x:row r="7">
      <x:c r="A7" s="30" t="str">
        <x:v>Open</x:v>
      </x:c>
      <x:c r="B7" s="34" t="n">
        <x:v>4550</x:v>
      </x:c>
      <x:c r="D7" s="30" t="str">
        <x:v>CPR Low</x:v>
      </x:c>
      <x:c r="E7" s="10" t="str">
        <x:v>=MIN(BC,TC)</x:v>
      </x:c>
      <x:c r="F7" s="36" t="n">
        <x:f>MIN(F5,F6)</x:f>
        <x:v>4526.666666666666</x:v>
      </x:c>
      <x:c r="G7" s="10" t="str">
        <x:v>Lower boundary of CPR zone.</x:v>
      </x:c>
      <x:c r="I7" s="30" t="str">
        <x:v>H4</x:v>
      </x:c>
      <x:c r="J7" s="10" t="str">
        <x:v>=Close + Range*1.1/2</x:v>
      </x:c>
      <x:c r="K7" s="36" t="n">
        <x:f>$B$6+$K$4*1.1/2</x:f>
        <x:v>4586</x:v>
      </x:c>
      <x:c r="L7" s="10" t="str">
        <x:v>Breakout threshold.</x:v>
      </x:c>
    </x:row>
    <x:row r="8">
      <x:c r="A8" s="30" t="str">
        <x:v>ATR</x:v>
      </x:c>
      <x:c r="B8" s="34" t="n">
        <x:v>35</x:v>
      </x:c>
      <x:c r="D8" s="30" t="str">
        <x:v>CPR High</x:v>
      </x:c>
      <x:c r="E8" s="10" t="str">
        <x:v>=MAX(BC,TC)</x:v>
      </x:c>
      <x:c r="F8" s="36" t="n">
        <x:f>MAX(F5,F6)</x:f>
        <x:v>4540</x:v>
      </x:c>
      <x:c r="G8" s="10" t="str">
        <x:v>Upper boundary of CPR zone.</x:v>
      </x:c>
      <x:c r="I8" s="30" t="str">
        <x:v>L4</x:v>
      </x:c>
      <x:c r="J8" s="10" t="str">
        <x:v>=Close - Range*1.1/2</x:v>
      </x:c>
      <x:c r="K8" s="36" t="n">
        <x:f>$B$6-$K$4*1.1/2</x:f>
        <x:v>4454</x:v>
      </x:c>
      <x:c r="L8" s="10" t="str">
        <x:v>Breakdown threshold.</x:v>
      </x:c>
    </x:row>
    <x:row r="9">
      <x:c r="A9" s="30" t="str">
        <x:v>Previous TC</x:v>
      </x:c>
      <x:c r="B9" s="34" t="n">
        <x:v>4585</x:v>
      </x:c>
      <x:c r="D9" s="30" t="str">
        <x:v>CPR Width</x:v>
      </x:c>
      <x:c r="E9" s="10" t="str">
        <x:v>=CPR High-CPR Low</x:v>
      </x:c>
      <x:c r="F9" s="36" t="n">
        <x:f>F8-F7</x:f>
        <x:v>13.33333333333394</x:v>
      </x:c>
      <x:c r="G9" s="10" t="str">
        <x:v>Absolute CPR width.</x:v>
      </x:c>
      <x:c r="I9" s="30" t="str">
        <x:v>H5</x:v>
      </x:c>
      <x:c r="J9" s="10" t="str">
        <x:v>=(High/Low)*Close</x:v>
      </x:c>
      <x:c r="K9" s="36" t="n">
        <x:f>($B$4/$B$5)*$B$6</x:f>
        <x:v>4641.071428571428</x:v>
      </x:c>
      <x:c r="L9" s="10" t="str">
        <x:v>Extended bullish target.</x:v>
      </x:c>
    </x:row>
    <x:row r="10">
      <x:c r="A10" s="30" t="str">
        <x:v>Previous BC</x:v>
      </x:c>
      <x:c r="B10" s="34" t="n">
        <x:v>4565</x:v>
      </x:c>
      <x:c r="D10" s="30" t="str">
        <x:v>CPR Width %</x:v>
      </x:c>
      <x:c r="E10" s="10" t="str">
        <x:v>=Width/Close</x:v>
      </x:c>
      <x:c r="F10" s="36" t="n">
        <x:f>F9/$B$6</x:f>
        <x:v>0.0029498525073747652</x:v>
      </x:c>
      <x:c r="G10" s="10" t="str">
        <x:v>Normalizes width across assets.</x:v>
      </x:c>
      <x:c r="I10" s="30" t="str">
        <x:v>L5</x:v>
      </x:c>
      <x:c r="J10" s="10" t="str">
        <x:v>=Close-(H5-Close)</x:v>
      </x:c>
      <x:c r="K10" s="36" t="n">
        <x:f>$B$6-(K9-$B$6)</x:f>
        <x:v>4398.928571428572</x:v>
      </x:c>
      <x:c r="L10" s="10" t="str">
        <x:v>Extended bearish target.</x:v>
      </x:c>
    </x:row>
    <x:row r="11">
      <x:c r="A11" s="30" t="str">
        <x:v>Previous Pivot</x:v>
      </x:c>
      <x:c r="B11" s="34" t="n">
        <x:v>4575</x:v>
      </x:c>
      <x:c r="D11" s="30" t="str">
        <x:v>CPR Class</x:v>
      </x:c>
      <x:c r="E11" s="10" t="str">
        <x:v>P25/P75 classification</x:v>
      </x:c>
      <x:c r="F11" s="36" t="str">
        <x:f>IF(F9&lt;$B$16,"Thin",IF(F9&gt;$B$17,"Wide","Moderate"))</x:f>
        <x:v>Moderate</x:v>
      </x:c>
      <x:c r="G11" s="10" t="str">
        <x:v>Thin = trend potential; Wide = range risk.</x:v>
      </x:c>
      <x:c r="I11" s="30" t="str">
        <x:v>Bullish Money Zone</x:v>
      </x:c>
      <x:c r="J11" s="10" t="str">
        <x:v>BC → P</x:v>
      </x:c>
      <x:c r="K11" s="10" t="str">
        <x:f>TEXT(F5,"0.00")&amp;" → "&amp;TEXT(F4,"0.00")</x:f>
        <x:v>4540.00 → 4533.33</x:v>
      </x:c>
      <x:c r="L11" s="10" t="str">
        <x:v>Bullish responsive value zone.</x:v>
      </x:c>
    </x:row>
    <x:row r="12">
      <x:c r="A12" s="30" t="str">
        <x:v>Previous High</x:v>
      </x:c>
      <x:c r="B12" s="34" t="n">
        <x:v>4590</x:v>
      </x:c>
      <x:c r="D12" s="30" t="str">
        <x:v>R1</x:v>
      </x:c>
      <x:c r="E12" s="10" t="str">
        <x:v>=2P-Low</x:v>
      </x:c>
      <x:c r="F12" s="36" t="n">
        <x:f>2*F4-$B$5</x:f>
        <x:v>4586.666666666666</x:v>
      </x:c>
      <x:c r="G12" s="10" t="str">
        <x:v>First resistance.</x:v>
      </x:c>
      <x:c r="I12" s="30" t="str">
        <x:v>Bearish Money Zone</x:v>
      </x:c>
      <x:c r="J12" s="10" t="str">
        <x:v>P → TC</x:v>
      </x:c>
      <x:c r="K12" s="10" t="str">
        <x:f>TEXT(F4,"0.00")&amp;" → "&amp;TEXT(F6,"0.00")</x:f>
        <x:v>4533.33 → 4526.67</x:v>
      </x:c>
      <x:c r="L12" s="10" t="str">
        <x:v>Bearish responsive value zone.</x:v>
      </x:c>
    </x:row>
    <x:row r="13">
      <x:c r="A13" s="30" t="str">
        <x:v>Previous Low</x:v>
      </x:c>
      <x:c r="B13" s="34" t="n">
        <x:v>4490</x:v>
      </x:c>
      <x:c r="D13" s="30" t="str">
        <x:v>S1</x:v>
      </x:c>
      <x:c r="E13" s="10" t="str">
        <x:v>=2P-High</x:v>
      </x:c>
      <x:c r="F13" s="36" t="n">
        <x:f>2*F4-$B$4</x:f>
        <x:v>4466.666666666666</x:v>
      </x:c>
      <x:c r="G13" s="10" t="str">
        <x:v>First support.</x:v>
      </x:c>
    </x:row>
    <x:row r="14">
      <x:c r="A14" s="30" t="str">
        <x:v>Current Price</x:v>
      </x:c>
      <x:c r="B14" s="34" t="n">
        <x:v>4510</x:v>
      </x:c>
      <x:c r="D14" s="30" t="str">
        <x:v>R2</x:v>
      </x:c>
      <x:c r="E14" s="10" t="str">
        <x:v>=P+(High-Low)</x:v>
      </x:c>
      <x:c r="F14" s="36" t="n">
        <x:f>F4+($B$4-$B$5)</x:f>
        <x:v>4653.333333333333</x:v>
      </x:c>
      <x:c r="G14" s="10" t="str">
        <x:v>Second resistance/extension.</x:v>
      </x:c>
    </x:row>
    <x:row r="15">
      <x:c r="A15" s="30" t="str">
        <x:v>ATR Dilation Factor</x:v>
      </x:c>
      <x:c r="B15" s="34" t="n">
        <x:v>0.15</x:v>
      </x:c>
      <x:c r="D15" s="30" t="str">
        <x:v>S2</x:v>
      </x:c>
      <x:c r="E15" s="10" t="str">
        <x:v>=P-(High-Low)</x:v>
      </x:c>
      <x:c r="F15" s="36" t="n">
        <x:f>F4-($B$4-$B$5)</x:f>
        <x:v>4413.333333333333</x:v>
      </x:c>
      <x:c r="G15" s="10" t="str">
        <x:v>Second support/extension.</x:v>
      </x:c>
    </x:row>
    <x:row r="16">
      <x:c r="A16" s="30" t="str">
        <x:v>Rolling CPR Width P25</x:v>
      </x:c>
      <x:c r="B16" s="34" t="n">
        <x:v>12</x:v>
      </x:c>
      <x:c r="D16" s="30" t="str">
        <x:v>R3</x:v>
      </x:c>
      <x:c r="E16" s="10" t="str">
        <x:v>=High+2(P-Low)</x:v>
      </x:c>
      <x:c r="F16" s="36" t="n">
        <x:f>$B$4+2*(F4-$B$5)</x:f>
        <x:v>4706.666666666666</x:v>
      </x:c>
      <x:c r="G16" s="10" t="str">
        <x:v>Third resistance.</x:v>
      </x:c>
    </x:row>
    <x:row r="17">
      <x:c r="A17" s="30" t="str">
        <x:v>Rolling CPR Width P75</x:v>
      </x:c>
      <x:c r="B17" s="34" t="n">
        <x:v>45</x:v>
      </x:c>
      <x:c r="D17" s="30" t="str">
        <x:v>S3</x:v>
      </x:c>
      <x:c r="E17" s="10" t="str">
        <x:v>=Low-2(High-P)</x:v>
      </x:c>
      <x:c r="F17" s="36" t="n">
        <x:f>$B$5-2*($B$4-F4)</x:f>
        <x:v>4346.666666666666</x:v>
      </x:c>
      <x:c r="G17" s="10" t="str">
        <x:v>Third support.</x:v>
      </x:c>
    </x:row>
    <x:row r="18">
      <x:c r="D18" s="30" t="str">
        <x:v>R4</x:v>
      </x:c>
      <x:c r="E18" s="10" t="str">
        <x:v>=R3+(R2-R1)</x:v>
      </x:c>
      <x:c r="F18" s="36" t="n">
        <x:f>F16+(F14-F12)</x:f>
        <x:v>4773.333333333333</x:v>
      </x:c>
      <x:c r="G18" s="10" t="str">
        <x:v>Fourth extension resistance.</x:v>
      </x:c>
    </x:row>
    <x:row r="19">
      <x:c r="D19" s="30" t="str">
        <x:v>S4</x:v>
      </x:c>
      <x:c r="E19" s="10" t="str">
        <x:v>=S3-(S1-S2)</x:v>
      </x:c>
      <x:c r="F19" s="36" t="n">
        <x:f>F17-(F13-F15)</x:f>
        <x:v>4293.333333333333</x:v>
      </x:c>
      <x:c r="G19" s="10" t="str">
        <x:v>Fourth extension support.</x:v>
      </x:c>
    </x:row>
    <x:row r="20">
      <x:c r="A20" s="5" t="str">
        <x:v>ATR Dilation, DPZ/GPZ, and Value Relationship Examples</x:v>
      </x:c>
    </x:row>
    <x:row r="22">
      <x:c r="A22" s="16" t="str">
        <x:v>Check</x:v>
      </x:c>
      <x:c r="B22" s="16" t="str">
        <x:v>Formula</x:v>
      </x:c>
      <x:c r="C22" s="16" t="str">
        <x:v>Result</x:v>
      </x:c>
      <x:c r="D22" s="16" t="str">
        <x:v>Meaning</x:v>
      </x:c>
      <x:c r="E22" s="16" t="str">
        <x:v>Action</x:v>
      </x:c>
    </x:row>
    <x:row r="23">
      <x:c r="A23" s="30" t="str">
        <x:v>ATR Dilation</x:v>
      </x:c>
      <x:c r="B23" s="10" t="str">
        <x:v>=ATR*dilation_factor</x:v>
      </x:c>
      <x:c r="C23" s="36" t="n">
        <x:f>$B$8*$B$15</x:f>
        <x:v>5.25</x:v>
      </x:c>
      <x:c r="D23" s="10" t="str">
        <x:v>Zone radius around each pivot.</x:v>
      </x:c>
      <x:c r="E23" s="10" t="str">
        <x:v>Use per pivot/timeframe.</x:v>
      </x:c>
    </x:row>
    <x:row r="24">
      <x:c r="A24" s="30" t="str">
        <x:v>R2-H4 Overlap?</x:v>
      </x:c>
      <x:c r="B24" s="10" t="str">
        <x:v>MAX(R2_low,H4_low)&lt;=MIN(R2_high,H4_high)</x:v>
      </x:c>
      <x:c r="C24" s="10" t="str">
        <x:f>IF(MAX(F14-$C$23,K7-$C$23)&lt;=MIN(F14+$C$23,K7+$C$23),"YES","NO")</x:f>
        <x:v>NO</x:v>
      </x:c>
      <x:c r="D24" s="10" t="str">
        <x:v>DPZ bullish expansion if yes.</x:v>
      </x:c>
      <x:c r="E24" s="10" t="str">
        <x:v>Prefer H4+R2.</x:v>
      </x:c>
    </x:row>
    <x:row r="25">
      <x:c r="A25" s="30" t="str">
        <x:v>S2-L4 Overlap?</x:v>
      </x:c>
      <x:c r="B25" s="10" t="str">
        <x:v>MAX(S2_low,L4_low)&lt;=MIN(S2_high,L4_high)</x:v>
      </x:c>
      <x:c r="C25" s="10" t="str">
        <x:f>IF(MAX(F15-$C$23,K8-$C$23)&lt;=MIN(F15+$C$23,K8+$C$23),"YES","NO")</x:f>
        <x:v>NO</x:v>
      </x:c>
      <x:c r="D25" s="10" t="str">
        <x:v>DPZ bearish expansion if yes.</x:v>
      </x:c>
      <x:c r="E25" s="10" t="str">
        <x:v>Prefer L4+S2.</x:v>
      </x:c>
    </x:row>
    <x:row r="26">
      <x:c r="A26" s="30" t="str">
        <x:v>Bullish GPZ?</x:v>
      </x:c>
      <x:c r="B26" s="10" t="str">
        <x:v>Bullish MZ overlaps L3 zone</x:v>
      </x:c>
      <x:c r="C26" s="10" t="str">
        <x:f>IF(MAX(F5,K6-$C$23)&lt;=MIN(F4,K6+$C$23),"YES","NO")</x:f>
        <x:v>NO</x:v>
      </x:c>
      <x:c r="D26" s="10" t="str">
        <x:v>Money Zone + L3.</x:v>
      </x:c>
      <x:c r="E26" s="10" t="str">
        <x:v>Responsive long / continuation.</x:v>
      </x:c>
    </x:row>
    <x:row r="27">
      <x:c r="A27" s="30" t="str">
        <x:v>Bearish GPZ?</x:v>
      </x:c>
      <x:c r="B27" s="10" t="str">
        <x:v>Bearish MZ overlaps H3 zone</x:v>
      </x:c>
      <x:c r="C27" s="10" t="str">
        <x:f>IF(MAX(F4,K5-$C$23)&lt;=MIN(F6,K5+$C$23),"YES","NO")</x:f>
        <x:v>NO</x:v>
      </x:c>
      <x:c r="D27" s="10" t="str">
        <x:v>Money Zone + H3.</x:v>
      </x:c>
      <x:c r="E27" s="10" t="str">
        <x:v>Responsive short / continuation.</x:v>
      </x:c>
    </x:row>
    <x:row r="28">
      <x:c r="A28" s="30" t="str">
        <x:v>Bearish Value Shift?</x:v>
      </x:c>
      <x:c r="B28" s="10" t="str">
        <x:v>Current TC &lt; Previous BC</x:v>
      </x:c>
      <x:c r="C28" s="10" t="str">
        <x:f>IF(F6&lt;$B$10,"YES","NO")</x:f>
        <x:v>YES</x:v>
      </x:c>
      <x:c r="D28" s="10" t="str">
        <x:v>Current value migrated below previous value.</x:v>
      </x:c>
      <x:c r="E28" s="10" t="str">
        <x:v>Watch old value sweep short.</x:v>
      </x:c>
    </x:row>
    <x:row r="29">
      <x:c r="A29" s="30" t="str">
        <x:v>Bullish Value Shift?</x:v>
      </x:c>
      <x:c r="B29" s="10" t="str">
        <x:v>Current BC &gt; Previous TC</x:v>
      </x:c>
      <x:c r="C29" s="10" t="str">
        <x:f>IF(F5&gt;$B$9,"YES","NO")</x:f>
        <x:v>NO</x:v>
      </x:c>
      <x:c r="D29" s="10" t="str">
        <x:v>Current value migrated above previous value.</x:v>
      </x:c>
      <x:c r="E29" s="10" t="str">
        <x:v>Watch old value sweep long.</x:v>
      </x:c>
    </x:row>
  </x:sheetData>
  <x:mergeCells>
    <x:mergeCell ref="A1:J1"/>
    <x:mergeCell ref="A20:J20"/>
  </x:mergeCells>
  <x:conditionalFormatting sqref="C24:C29">
    <x:cfRule type="expression" dxfId="0" priority="1">
      <x:formula>C24="YES"</x:formula>
    </x:cfRule>
    <x:cfRule type="expression" dxfId="1" priority="2">
      <x:formula>C24="NO"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28" hidden="0" customWidth="1"/>
    <x:col min="5" max="5" width="28" hidden="0" customWidth="1"/>
    <x:col min="6" max="6" width="24" hidden="0" customWidth="1"/>
    <x:col min="7" max="7" width="32" hidden="0" customWidth="1"/>
    <x:col min="8" max="8" width="24" hidden="0" customWidth="1"/>
    <x:col min="9" max="9" width="22" hidden="0" customWidth="1"/>
    <x:col min="10" max="10" width="28" hidden="0" customWidth="1"/>
    <x:col min="11" max="11" width="18" hidden="0" customWidth="1"/>
    <x:col min="12" max="12" width="32" hidden="0" customWidth="1"/>
  </x:cols>
  <x:sheetData>
    <x:row r="1" ht="28" customHeight="1">
      <x:c r="A1" s="48" t="str">
        <x:v>Concepts, Formulas &amp; Interpretation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3">
      <x:c r="A3" s="16" t="str">
        <x:v>Concept</x:v>
      </x:c>
      <x:c r="B3" s="16" t="str">
        <x:v>Formula / Detection</x:v>
      </x:c>
      <x:c r="C3" s="16" t="str">
        <x:v>Best Use</x:v>
      </x:c>
      <x:c r="D3" s="16" t="str">
        <x:v>Bullish Interpretation</x:v>
      </x:c>
      <x:c r="E3" s="16" t="str">
        <x:v>Bearish Interpretation</x:v>
      </x:c>
      <x:c r="F3" s="16" t="str">
        <x:v>Implementation Notes</x:v>
      </x:c>
    </x:row>
    <x:row r="4">
      <x:c r="A4" s="30" t="str">
        <x:v>CPR</x:v>
      </x:c>
      <x:c r="B4" s="10" t="str">
        <x:v>P=(H+L+C)/3; BC=(H+L)/2; TC=2P-BC</x:v>
      </x:c>
      <x:c r="C4" s="10" t="str">
        <x:v>Equilibrium/value and trend bias.</x:v>
      </x:c>
      <x:c r="D4" s="10" t="str">
        <x:v>Price above CPR/pivot favors longs.</x:v>
      </x:c>
      <x:c r="E4" s="10" t="str">
        <x:v>Price below CPR/pivot favors shorts.</x:v>
      </x:c>
      <x:c r="F4" s="10" t="str">
        <x:v>Order CPR boundaries with MIN/MAX because TC can be below BC.</x:v>
      </x:c>
    </x:row>
    <x:row r="5">
      <x:c r="A5" s="30" t="str">
        <x:v>CPR Width</x:v>
      </x:c>
      <x:c r="B5" s="10" t="str">
        <x:v>abs(TC-BC), normalized as width/close</x:v>
      </x:c>
      <x:c r="C5" s="10" t="str">
        <x:v>Forecast trend/range regime.</x:v>
      </x:c>
      <x:c r="D5" s="10" t="str">
        <x:v>Thin CPR supports expansion after breakout.</x:v>
      </x:c>
      <x:c r="E5" s="10" t="str">
        <x:v>Wide CPR often supports rotation/range.</x:v>
      </x:c>
      <x:c r="F5" s="10" t="str">
        <x:v>Use rolling percentile or z-score; avoid raw pip thresholds.</x:v>
      </x:c>
    </x:row>
    <x:row r="6">
      <x:c r="A6" s="30" t="str">
        <x:v>Floor Pivots</x:v>
      </x:c>
      <x:c r="B6" s="10" t="str">
        <x:v>R/S levels from previous H/L/C</x:v>
      </x:c>
      <x:c r="C6" s="10" t="str">
        <x:v>Targets, breakout/rejection zones.</x:v>
      </x:c>
      <x:c r="D6" s="10" t="str">
        <x:v>R1/PDH break; R2/R3 targets.</x:v>
      </x:c>
      <x:c r="E6" s="10" t="str">
        <x:v>S1/PDL break; S2/S3 targets.</x:v>
      </x:c>
      <x:c r="F6" s="10" t="str">
        <x:v>Compute separately for Daily/Weekly/Monthly/4H.</x:v>
      </x:c>
    </x:row>
    <x:row r="7">
      <x:c r="A7" s="30" t="str">
        <x:v>Camarilla H3/L3</x:v>
      </x:c>
      <x:c r="B7" s="10" t="str">
        <x:v>C ± Range*1.1/4</x:v>
      </x:c>
      <x:c r="C7" s="10" t="str">
        <x:v>Responsive/mean reversion zones.</x:v>
      </x:c>
      <x:c r="D7" s="10" t="str">
        <x:v>L3 is responsive buy zone.</x:v>
      </x:c>
      <x:c r="E7" s="10" t="str">
        <x:v>H3 is responsive sell zone.</x:v>
      </x:c>
      <x:c r="F7" s="10" t="str">
        <x:v>Best for GPZ with Money Zone/value area.</x:v>
      </x:c>
    </x:row>
    <x:row r="8">
      <x:c r="A8" s="30" t="str">
        <x:v>Camarilla H4/L4</x:v>
      </x:c>
      <x:c r="B8" s="10" t="str">
        <x:v>C ± Range*1.1/2</x:v>
      </x:c>
      <x:c r="C8" s="10" t="str">
        <x:v>Breakout thresholds.</x:v>
      </x:c>
      <x:c r="D8" s="10" t="str">
        <x:v>H4 break/hold = bullish expansion.</x:v>
      </x:c>
      <x:c r="E8" s="10" t="str">
        <x:v>L4 break/hold = bearish expansion.</x:v>
      </x:c>
      <x:c r="F8" s="10" t="str">
        <x:v>Best DPZ combo: H4+R2 or L4+S2.</x:v>
      </x:c>
    </x:row>
    <x:row r="9">
      <x:c r="A9" s="30" t="str">
        <x:v>Money Zone</x:v>
      </x:c>
      <x:c r="B9" s="10" t="str">
        <x:v>Bullish: BC→P; Bearish: P→TC</x:v>
      </x:c>
      <x:c r="C9" s="10" t="str">
        <x:v>Precision value participation zone.</x:v>
      </x:c>
      <x:c r="D9" s="10" t="str">
        <x:v>Buy pullbacks in BC→P.</x:v>
      </x:c>
      <x:c r="E9" s="10" t="str">
        <x:v>Short rallies in P→TC.</x:v>
      </x:c>
      <x:c r="F9" s="10" t="str">
        <x:v>If using Volume Profile, map VAL/POC/VAH analogously.</x:v>
      </x:c>
    </x:row>
    <x:row r="10">
      <x:c r="A10" s="30" t="str">
        <x:v>DPZ</x:v>
      </x:c>
      <x:c r="B10" s="10" t="str">
        <x:v>ATR-dilated overlap of compatible pivot zones</x:v>
      </x:c>
      <x:c r="C10" s="10" t="str">
        <x:v>Generic confluence/cluster zone.</x:v>
      </x:c>
      <x:c r="D10" s="10" t="str">
        <x:v>Support/support cluster or H4+R2 expansion.</x:v>
      </x:c>
      <x:c r="E10" s="10" t="str">
        <x:v>Resistance/resistance cluster or L4+S2 expansion.</x:v>
      </x:c>
      <x:c r="F10" s="10" t="str">
        <x:v>Use zones not lines; require role compatibility.</x:v>
      </x:c>
    </x:row>
    <x:row r="11">
      <x:c r="A11" s="30" t="str">
        <x:v>GPZ</x:v>
      </x:c>
      <x:c r="B11" s="10" t="str">
        <x:v>Money Zone + Cam L3/H3 overlap</x:v>
      </x:c>
      <x:c r="C11" s="10" t="str">
        <x:v>Golden responsive zone.</x:v>
      </x:c>
      <x:c r="D11" s="10" t="str">
        <x:v>Bullish MZ overlaps L3.</x:v>
      </x:c>
      <x:c r="E11" s="10" t="str">
        <x:v>Bearish MZ overlaps H3.</x:v>
      </x:c>
      <x:c r="F11" s="10" t="str">
        <x:v>Do not confuse with H4/L4 breakout DPZ.</x:v>
      </x:c>
    </x:row>
    <x:row r="12">
      <x:c r="A12" s="30" t="str">
        <x:v>MTZ</x:v>
      </x:c>
      <x:c r="B12" s="10" t="str">
        <x:v>Multi-timeframe pivot confluence</x:v>
      </x:c>
      <x:c r="C12" s="10" t="str">
        <x:v>Major support/resistance zone.</x:v>
      </x:c>
      <x:c r="D12" s="10" t="str">
        <x:v>Daily+Weekly+Monthly supports aligned.</x:v>
      </x:c>
      <x:c r="E12" s="10" t="str">
        <x:v>Daily+Weekly+Monthly resistances aligned.</x:v>
      </x:c>
      <x:c r="F12" s="10" t="str">
        <x:v>Use ATR dilation by timeframe; higher TF gets wider dilation.</x:v>
      </x:c>
    </x:row>
    <x:row r="13">
      <x:c r="A13" s="30" t="str">
        <x:v>FVR / Failed Value Reacceptance</x:v>
      </x:c>
      <x:c r="B13" s="10" t="str">
        <x:v>Current CPR shifts away, price sweeps old value, fails, continues</x:v>
      </x:c>
      <x:c r="C13" s="10" t="str">
        <x:v>Old value sweep continuation.</x:v>
      </x:c>
      <x:c r="D13" s="10" t="str">
        <x:v>Current BC&gt;Prev TC; sweep old value low; reject higher.</x:v>
      </x:c>
      <x:c r="E13" s="10" t="str">
        <x:v>Current TC&lt;Prev BC; sweep old value high; reject lower.</x:v>
      </x:c>
      <x:c r="F13" s="10" t="str">
        <x:v>Great for session flight plan and historical replay.</x:v>
      </x:c>
    </x:row>
    <x:row r="14">
      <x:c r="A14" s="30" t="str">
        <x:v>POC / VAH / VAL</x:v>
      </x:c>
      <x:c r="B14" s="10" t="str">
        <x:v>Volume Profile value area</x:v>
      </x:c>
      <x:c r="C14" s="10" t="str">
        <x:v>Market acceptance confirmation.</x:v>
      </x:c>
      <x:c r="D14" s="10" t="str">
        <x:v>VAL/L3 or POC/L3 responsive long.</x:v>
      </x:c>
      <x:c r="E14" s="10" t="str">
        <x:v>VAH/H3 or POC/H3 responsive short.</x:v>
      </x:c>
      <x:c r="F14" s="10" t="str">
        <x:v>Optional but powerful for GPZ/value confluence.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56d5bb9f65047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28" hidden="0" customWidth="1"/>
    <x:col min="5" max="5" width="28" hidden="0" customWidth="1"/>
    <x:col min="6" max="6" width="24" hidden="0" customWidth="1"/>
    <x:col min="7" max="7" width="32" hidden="0" customWidth="1"/>
    <x:col min="8" max="8" width="24" hidden="0" customWidth="1"/>
    <x:col min="9" max="9" width="22" hidden="0" customWidth="1"/>
    <x:col min="10" max="10" width="28" hidden="0" customWidth="1"/>
    <x:col min="11" max="11" width="18" hidden="0" customWidth="1"/>
    <x:col min="12" max="12" width="32" hidden="0" customWidth="1"/>
  </x:cols>
  <x:sheetData>
    <x:row r="1" ht="28" customHeight="1">
      <x:c r="A1" s="48" t="str">
        <x:v>Setups &amp; Rules — Entry, Stop, Targets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3">
      <x:c r="A3" s="16" t="str">
        <x:v>Setup</x:v>
      </x:c>
      <x:c r="B3" s="16" t="str">
        <x:v>Market Context</x:v>
      </x:c>
      <x:c r="C3" s="16" t="str">
        <x:v>Detection Rules</x:v>
      </x:c>
      <x:c r="D3" s="16" t="str">
        <x:v>Entry Trigger</x:v>
      </x:c>
      <x:c r="E3" s="16" t="str">
        <x:v>Stop Loss</x:v>
      </x:c>
      <x:c r="F3" s="16" t="str">
        <x:v>TP1</x:v>
      </x:c>
      <x:c r="G3" s="16" t="str">
        <x:v>TP2</x:v>
      </x:c>
      <x:c r="H3" s="16" t="str">
        <x:v>TP3</x:v>
      </x:c>
    </x:row>
    <x:row r="4">
      <x:c r="A4" s="30" t="str">
        <x:v>Strong Buy Breakout</x:v>
      </x:c>
      <x:c r="B4" s="10" t="str">
        <x:v>Price above Monthly, Weekly, Daily pivots; Daily CPR thin.</x:v>
      </x:c>
      <x:c r="C4" s="10" t="str">
        <x:v>Close above PDH or R1.</x:v>
      </x:c>
      <x:c r="D4" s="10" t="str">
        <x:v>Buy close above level or retest hold.</x:v>
      </x:c>
      <x:c r="E4" s="10" t="str">
        <x:v>Below breakout candle low / CPR low / S1.</x:v>
      </x:c>
      <x:c r="F4" s="10" t="str">
        <x:v>R2</x:v>
      </x:c>
      <x:c r="G4" s="10" t="str">
        <x:v>R3</x:v>
      </x:c>
      <x:c r="H4" s="10" t="str">
        <x:v>R4</x:v>
      </x:c>
    </x:row>
    <x:row r="5">
      <x:c r="A5" s="30" t="str">
        <x:v>Strong Sell Breakdown</x:v>
      </x:c>
      <x:c r="B5" s="10" t="str">
        <x:v>Price below Monthly, Weekly, Daily pivots; Daily CPR thin.</x:v>
      </x:c>
      <x:c r="C5" s="10" t="str">
        <x:v>Close below PDL or S1.</x:v>
      </x:c>
      <x:c r="D5" s="10" t="str">
        <x:v>Sell close below level or retest fail.</x:v>
      </x:c>
      <x:c r="E5" s="10" t="str">
        <x:v>Above breakdown candle high / CPR high / R1.</x:v>
      </x:c>
      <x:c r="F5" s="10" t="str">
        <x:v>S2</x:v>
      </x:c>
      <x:c r="G5" s="10" t="str">
        <x:v>S3</x:v>
      </x:c>
      <x:c r="H5" s="10" t="str">
        <x:v>S4</x:v>
      </x:c>
    </x:row>
    <x:row r="6">
      <x:c r="A6" s="30" t="str">
        <x:v>BUY Pullback Continuation</x:v>
      </x:c>
      <x:c r="B6" s="10" t="str">
        <x:v>Below Monthly but above Weekly and Daily pivots.</x:v>
      </x:c>
      <x:c r="C6" s="10" t="str">
        <x:v>Pullback to Pivot/CPR/S1 and bullish rejection.</x:v>
      </x:c>
      <x:c r="D6" s="10" t="str">
        <x:v>Bullish close or candle pattern.</x:v>
      </x:c>
      <x:c r="E6" s="10" t="str">
        <x:v>Below rejection low / CPR low / S1.</x:v>
      </x:c>
      <x:c r="F6" s="10" t="str">
        <x:v>PDH</x:v>
      </x:c>
      <x:c r="G6" s="10" t="str">
        <x:v>R1</x:v>
      </x:c>
      <x:c r="H6" s="10" t="str">
        <x:v>R2</x:v>
      </x:c>
    </x:row>
    <x:row r="7">
      <x:c r="A7" s="30" t="str">
        <x:v>SELL Pullback Continuation</x:v>
      </x:c>
      <x:c r="B7" s="10" t="str">
        <x:v>Above Monthly but below Weekly and Daily pivots.</x:v>
      </x:c>
      <x:c r="C7" s="10" t="str">
        <x:v>Pullback to Pivot/CPR/R1 and bearish rejection.</x:v>
      </x:c>
      <x:c r="D7" s="10" t="str">
        <x:v>Bearish close or candle pattern.</x:v>
      </x:c>
      <x:c r="E7" s="10" t="str">
        <x:v>Above rejection high / CPR high / R1.</x:v>
      </x:c>
      <x:c r="F7" s="10" t="str">
        <x:v>PDL</x:v>
      </x:c>
      <x:c r="G7" s="10" t="str">
        <x:v>S1</x:v>
      </x:c>
      <x:c r="H7" s="10" t="str">
        <x:v>S2</x:v>
      </x:c>
    </x:row>
    <x:row r="8">
      <x:c r="A8" s="30" t="str">
        <x:v>DPZ Expansion Long</x:v>
      </x:c>
      <x:c r="B8" s="10" t="str">
        <x:v>Thin CPR or trend day context.</x:v>
      </x:c>
      <x:c r="C8" s="10" t="str">
        <x:v>ATR-dilated H4 overlaps R2, preferably different families/timeframes.</x:v>
      </x:c>
      <x:c r="D8" s="10" t="str">
        <x:v>Break and hold/retest above DPZ.</x:v>
      </x:c>
      <x:c r="E8" s="10" t="str">
        <x:v>Below DPZ low or H4.</x:v>
      </x:c>
      <x:c r="F8" s="10" t="str">
        <x:v>H5/R3</x:v>
      </x:c>
      <x:c r="G8" s="10" t="str">
        <x:v>R3/R4</x:v>
      </x:c>
      <x:c r="H8" s="10" t="str">
        <x:v>Trail</x:v>
      </x:c>
    </x:row>
    <x:row r="9">
      <x:c r="A9" s="30" t="str">
        <x:v>DPZ Expansion Short</x:v>
      </x:c>
      <x:c r="B9" s="10" t="str">
        <x:v>Thin CPR or trend day context.</x:v>
      </x:c>
      <x:c r="C9" s="10" t="str">
        <x:v>ATR-dilated L4 overlaps S2.</x:v>
      </x:c>
      <x:c r="D9" s="10" t="str">
        <x:v>Break and hold/retest below DPZ.</x:v>
      </x:c>
      <x:c r="E9" s="10" t="str">
        <x:v>Above DPZ high or L4.</x:v>
      </x:c>
      <x:c r="F9" s="10" t="str">
        <x:v>L5/S3</x:v>
      </x:c>
      <x:c r="G9" s="10" t="str">
        <x:v>S3/S4</x:v>
      </x:c>
      <x:c r="H9" s="10" t="str">
        <x:v>Trail</x:v>
      </x:c>
    </x:row>
    <x:row r="10">
      <x:c r="A10" s="30" t="str">
        <x:v>Bullish GPZ</x:v>
      </x:c>
      <x:c r="B10" s="10" t="str">
        <x:v>Bullish/neutral bias; responsive pullback.</x:v>
      </x:c>
      <x:c r="C10" s="10" t="str">
        <x:v>Bullish Money Zone overlaps Cam L3.</x:v>
      </x:c>
      <x:c r="D10" s="10" t="str">
        <x:v>Price trades into GPZ and closes back above zone center.</x:v>
      </x:c>
      <x:c r="E10" s="10" t="str">
        <x:v>Below GPZ low or L4.</x:v>
      </x:c>
      <x:c r="F10" s="10" t="str">
        <x:v>Pivot/CPR high</x:v>
      </x:c>
      <x:c r="G10" s="10" t="str">
        <x:v>H3</x:v>
      </x:c>
      <x:c r="H10" s="10" t="str">
        <x:v>H4</x:v>
      </x:c>
    </x:row>
    <x:row r="11">
      <x:c r="A11" s="30" t="str">
        <x:v>Bearish GPZ</x:v>
      </x:c>
      <x:c r="B11" s="10" t="str">
        <x:v>Bearish/neutral bias; responsive rally.</x:v>
      </x:c>
      <x:c r="C11" s="10" t="str">
        <x:v>Bearish Money Zone overlaps Cam H3.</x:v>
      </x:c>
      <x:c r="D11" s="10" t="str">
        <x:v>Price trades into GPZ and closes back below zone center.</x:v>
      </x:c>
      <x:c r="E11" s="10" t="str">
        <x:v>Above GPZ high or H4.</x:v>
      </x:c>
      <x:c r="F11" s="10" t="str">
        <x:v>Pivot/CPR low</x:v>
      </x:c>
      <x:c r="G11" s="10" t="str">
        <x:v>L3</x:v>
      </x:c>
      <x:c r="H11" s="10" t="str">
        <x:v>L4</x:v>
      </x:c>
    </x:row>
    <x:row r="12">
      <x:c r="A12" s="30" t="str">
        <x:v>Bearish FVR</x:v>
      </x:c>
      <x:c r="B12" s="10" t="str">
        <x:v>Current CPR strongly below previous CPR.</x:v>
      </x:c>
      <x:c r="C12" s="10" t="str">
        <x:v>Current TC &lt; Previous BC; price sweeps previous high/R1/value high and fails.</x:v>
      </x:c>
      <x:c r="D12" s="10" t="str">
        <x:v>Close back below rejected old value zone.</x:v>
      </x:c>
      <x:c r="E12" s="10" t="str">
        <x:v>Above sweep high / old value high.</x:v>
      </x:c>
      <x:c r="F12" s="10" t="str">
        <x:v>Current Pivot</x:v>
      </x:c>
      <x:c r="G12" s="10" t="str">
        <x:v>S1/PDL</x:v>
      </x:c>
      <x:c r="H12" s="10" t="str">
        <x:v>S2/S3</x:v>
      </x:c>
    </x:row>
    <x:row r="13">
      <x:c r="A13" s="30" t="str">
        <x:v>Bullish FVR</x:v>
      </x:c>
      <x:c r="B13" s="10" t="str">
        <x:v>Current CPR strongly above previous CPR.</x:v>
      </x:c>
      <x:c r="C13" s="10" t="str">
        <x:v>Current BC &gt; Previous TC; price sweeps previous low/S1/value low and fails.</x:v>
      </x:c>
      <x:c r="D13" s="10" t="str">
        <x:v>Close back above rejected old value zone.</x:v>
      </x:c>
      <x:c r="E13" s="10" t="str">
        <x:v>Below sweep low / old value low.</x:v>
      </x:c>
      <x:c r="F13" s="10" t="str">
        <x:v>Current Pivot</x:v>
      </x:c>
      <x:c r="G13" s="10" t="str">
        <x:v>R1/PDH</x:v>
      </x:c>
      <x:c r="H13" s="10" t="str">
        <x:v>R2/R3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279447aa49a44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28" hidden="0" customWidth="1"/>
    <x:col min="5" max="5" width="28" hidden="0" customWidth="1"/>
    <x:col min="6" max="6" width="24" hidden="0" customWidth="1"/>
    <x:col min="7" max="7" width="32" hidden="0" customWidth="1"/>
    <x:col min="8" max="8" width="24" hidden="0" customWidth="1"/>
    <x:col min="9" max="9" width="22" hidden="0" customWidth="1"/>
    <x:col min="10" max="10" width="28" hidden="0" customWidth="1"/>
    <x:col min="11" max="11" width="18" hidden="0" customWidth="1"/>
    <x:col min="12" max="12" width="32" hidden="0" customWidth="1"/>
  </x:cols>
  <x:sheetData>
    <x:row r="1" ht="28" customHeight="1">
      <x:c r="A1" s="48" t="str">
        <x:v>Setup Scoring Model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3">
      <x:c r="A3" s="16" t="str">
        <x:v>Factor</x:v>
      </x:c>
      <x:c r="B3" s="16" t="str">
        <x:v>Condition</x:v>
      </x:c>
      <x:c r="C3" s="16" t="str">
        <x:v>Points</x:v>
      </x:c>
      <x:c r="D3" s="16" t="str">
        <x:v>Notes</x:v>
      </x:c>
      <x:c r="F3" s="16" t="str">
        <x:v>Score Band</x:v>
      </x:c>
      <x:c r="G3" s="16" t="str">
        <x:v>Interpretation</x:v>
      </x:c>
    </x:row>
    <x:row r="4">
      <x:c r="A4" s="30" t="str">
        <x:v>TrendX Strong Alignment</x:v>
      </x:c>
      <x:c r="B4" s="10" t="str">
        <x:v>Above/below Monthly+Weekly+Daily pivots</x:v>
      </x:c>
      <x:c r="C4" s="40" t="n">
        <x:v>20</x:v>
      </x:c>
      <x:c r="D4" s="10" t="str">
        <x:v>Highest directional bias.</x:v>
      </x:c>
      <x:c r="F4" s="30" t="str">
        <x:v>85–100</x:v>
      </x:c>
      <x:c r="G4" s="10" t="str">
        <x:v>Excellent / priority setup</x:v>
      </x:c>
    </x:row>
    <x:row r="5">
      <x:c r="A5" s="30" t="str">
        <x:v>TrendX Buy/Sell Alignment</x:v>
      </x:c>
      <x:c r="B5" s="10" t="str">
        <x:v>Mixed macro but Weekly+Daily aligned</x:v>
      </x:c>
      <x:c r="C5" s="40" t="n">
        <x:v>12</x:v>
      </x:c>
      <x:c r="D5" s="10" t="str">
        <x:v>Lower than full alignment.</x:v>
      </x:c>
      <x:c r="F5" s="30" t="str">
        <x:v>70–84</x:v>
      </x:c>
      <x:c r="G5" s="10" t="str">
        <x:v>High-quality setup</x:v>
      </x:c>
    </x:row>
    <x:row r="6">
      <x:c r="A6" s="30" t="str">
        <x:v>Thin CPR</x:v>
      </x:c>
      <x:c r="B6" s="10" t="str">
        <x:v>Width below rolling P25</x:v>
      </x:c>
      <x:c r="C6" s="40" t="n">
        <x:v>15</x:v>
      </x:c>
      <x:c r="D6" s="10" t="str">
        <x:v>Breakout/trend potential.</x:v>
      </x:c>
      <x:c r="F6" s="30" t="str">
        <x:v>55–69</x:v>
      </x:c>
      <x:c r="G6" s="10" t="str">
        <x:v>Monitor / wait for confirmation</x:v>
      </x:c>
    </x:row>
    <x:row r="7">
      <x:c r="A7" s="30" t="str">
        <x:v>Moderate CPR</x:v>
      </x:c>
      <x:c r="B7" s="10" t="str">
        <x:v>P25 to P75</x:v>
      </x:c>
      <x:c r="C7" s="40" t="n">
        <x:v>7</x:v>
      </x:c>
      <x:c r="D7" s="10" t="str">
        <x:v>Allowed if bias strong.</x:v>
      </x:c>
      <x:c r="F7" s="30" t="str">
        <x:v>&lt;55</x:v>
      </x:c>
      <x:c r="G7" s="10" t="str">
        <x:v>Low priority / no trade</x:v>
      </x:c>
    </x:row>
    <x:row r="8">
      <x:c r="A8" s="30" t="str">
        <x:v>Wide CPR</x:v>
      </x:c>
      <x:c r="B8" s="10" t="str">
        <x:v>Above P75</x:v>
      </x:c>
      <x:c r="C8" s="40" t="n">
        <x:v>-10</x:v>
      </x:c>
      <x:c r="D8" s="10" t="str">
        <x:v>Avoid directional trades unless rejection setup.</x:v>
      </x:c>
    </x:row>
    <x:row r="9">
      <x:c r="A9" s="30" t="str">
        <x:v>DPZ Tier 1</x:v>
      </x:c>
      <x:c r="B9" s="10" t="str">
        <x:v>H4/L4 + R2/S2 overlap</x:v>
      </x:c>
      <x:c r="C9" s="40" t="n">
        <x:v>25</x:v>
      </x:c>
      <x:c r="D9" s="10" t="str">
        <x:v>Expansion zone.</x:v>
      </x:c>
    </x:row>
    <x:row r="10">
      <x:c r="A10" s="30" t="str">
        <x:v>DPZ Tier 2</x:v>
      </x:c>
      <x:c r="B10" s="10" t="str">
        <x:v>H5/L5 + R3/S3 overlap</x:v>
      </x:c>
      <x:c r="C10" s="40" t="n">
        <x:v>30</x:v>
      </x:c>
      <x:c r="D10" s="10" t="str">
        <x:v>Extreme extension zone.</x:v>
      </x:c>
    </x:row>
    <x:row r="11">
      <x:c r="A11" s="30" t="str">
        <x:v>GPZ</x:v>
      </x:c>
      <x:c r="B11" s="10" t="str">
        <x:v>Money Zone + H3/L3 overlap</x:v>
      </x:c>
      <x:c r="C11" s="40" t="n">
        <x:v>25</x:v>
      </x:c>
      <x:c r="D11" s="10" t="str">
        <x:v>Golden responsive zone.</x:v>
      </x:c>
    </x:row>
    <x:row r="12">
      <x:c r="A12" s="30" t="str">
        <x:v>MTZ</x:v>
      </x:c>
      <x:c r="B12" s="10" t="str">
        <x:v>3+ timeframes overlap after ATR dilation</x:v>
      </x:c>
      <x:c r="C12" s="40" t="n">
        <x:v>25</x:v>
      </x:c>
      <x:c r="D12" s="10" t="str">
        <x:v>Major zone.</x:v>
      </x:c>
    </x:row>
    <x:row r="13">
      <x:c r="A13" s="30" t="str">
        <x:v>FVR / Value Sweep</x:v>
      </x:c>
      <x:c r="B13" s="10" t="str">
        <x:v>Strong CPR shift + old value sweep + rejection</x:v>
      </x:c>
      <x:c r="C13" s="40" t="n">
        <x:v>30</x:v>
      </x:c>
      <x:c r="D13" s="10" t="str">
        <x:v>High-quality continuation.</x:v>
      </x:c>
    </x:row>
    <x:row r="14">
      <x:c r="A14" s="30" t="str">
        <x:v>Price Reaction</x:v>
      </x:c>
      <x:c r="B14" s="10" t="str">
        <x:v>Rejection candle / engulfing / close back through zone</x:v>
      </x:c>
      <x:c r="C14" s="40" t="n">
        <x:v>15</x:v>
      </x:c>
      <x:c r="D14" s="10" t="str">
        <x:v>Confirmation required for responsive setups.</x:v>
      </x:c>
    </x:row>
    <x:row r="15">
      <x:c r="A15" s="30" t="str">
        <x:v>RR &gt;= 3</x:v>
      </x:c>
      <x:c r="B15" s="10" t="str">
        <x:v>Reward/Risk at least 3:1</x:v>
      </x:c>
      <x:c r="C15" s="40" t="n">
        <x:v>10</x:v>
      </x:c>
      <x:c r="D15" s="10" t="str">
        <x:v>High winrate/high-quality filter.</x:v>
      </x:c>
    </x:row>
    <x:row r="16">
      <x:c r="A16" s="30" t="str">
        <x:v>RR &gt;= 4</x:v>
      </x:c>
      <x:c r="B16" s="10" t="str">
        <x:v>Reward/Risk at least 4:1</x:v>
      </x:c>
      <x:c r="C16" s="40" t="n">
        <x:v>15</x:v>
      </x:c>
      <x:c r="D16" s="10" t="str">
        <x:v>Use instead of RR&gt;=3 bonus, not cumulative.</x:v>
      </x:c>
    </x:row>
    <x:row r="17">
      <x:c r="A17" s="30" t="str">
        <x:v>RR &gt;= 5</x:v>
      </x:c>
      <x:c r="B17" s="10" t="str">
        <x:v>Reward/Risk at least 5:1</x:v>
      </x:c>
      <x:c r="C17" s="40" t="n">
        <x:v>20</x:v>
      </x:c>
      <x:c r="D17" s="10" t="str">
        <x:v>Use instead of lower RR bonus, not cumulative.</x:v>
      </x:c>
    </x:row>
    <x:row r="20">
      <x:c r="A20" s="5" t="str">
        <x:v>Example Score Calculator</x:v>
      </x:c>
    </x:row>
    <x:row r="22">
      <x:c r="A22" s="16" t="str">
        <x:v>Factor</x:v>
      </x:c>
      <x:c r="B22" s="16" t="str">
        <x:v>Selected?</x:v>
      </x:c>
      <x:c r="C22" s="16" t="str">
        <x:v>Points</x:v>
      </x:c>
      <x:c r="D22" s="16" t="str">
        <x:v>Contribution</x:v>
      </x:c>
    </x:row>
    <x:row r="23">
      <x:c r="A23" t="str">
        <x:v>Strong Alignment</x:v>
      </x:c>
      <x:c r="B23" s="42" t="b">
        <x:v>1</x:v>
      </x:c>
      <x:c r="C23" t="n">
        <x:v>20</x:v>
      </x:c>
      <x:c r="D23" t="n">
        <x:f>IF(B23,C23,0)</x:f>
        <x:v>20</x:v>
      </x:c>
    </x:row>
    <x:row r="24">
      <x:c r="A24" t="str">
        <x:v>Thin CPR</x:v>
      </x:c>
      <x:c r="B24" s="42" t="b">
        <x:v>1</x:v>
      </x:c>
      <x:c r="C24" t="n">
        <x:v>15</x:v>
      </x:c>
      <x:c r="D24" t="n">
        <x:f>IF(B24,C24,0)</x:f>
        <x:v>15</x:v>
      </x:c>
    </x:row>
    <x:row r="25">
      <x:c r="A25" t="str">
        <x:v>FVR</x:v>
      </x:c>
      <x:c r="B25" s="42" t="b">
        <x:v>1</x:v>
      </x:c>
      <x:c r="C25" t="n">
        <x:v>30</x:v>
      </x:c>
      <x:c r="D25" t="n">
        <x:f>IF(B25,C25,0)</x:f>
        <x:v>30</x:v>
      </x:c>
    </x:row>
    <x:row r="26">
      <x:c r="A26" t="str">
        <x:v>Price Reaction</x:v>
      </x:c>
      <x:c r="B26" s="42" t="b">
        <x:v>1</x:v>
      </x:c>
      <x:c r="C26" t="n">
        <x:v>15</x:v>
      </x:c>
      <x:c r="D26" t="n">
        <x:f>IF(B26,C26,0)</x:f>
        <x:v>15</x:v>
      </x:c>
    </x:row>
    <x:row r="27">
      <x:c r="A27" t="str">
        <x:v>RR &gt;= 4</x:v>
      </x:c>
      <x:c r="B27" s="42" t="b">
        <x:v>1</x:v>
      </x:c>
      <x:c r="C27" t="n">
        <x:v>15</x:v>
      </x:c>
      <x:c r="D27" t="n">
        <x:f>IF(B27,C27,0)</x:f>
        <x:v>15</x:v>
      </x:c>
    </x:row>
    <x:row r="28">
      <x:c r="A28" s="44" t="str">
        <x:v>TOTAL</x:v>
      </x:c>
      <x:c r="B28" s="44" t="str"/>
      <x:c r="C28" s="44" t="str"/>
      <x:c r="D28" s="44" t="n">
        <x:f>SUM(D23:D27)</x:f>
        <x:v>95</x:v>
      </x:c>
    </x:row>
  </x:sheetData>
  <x:mergeCells>
    <x:mergeCell ref="A1:G1"/>
    <x:mergeCell ref="A20:E20"/>
  </x:mergeCells>
  <x:conditionalFormatting sqref="D28:D2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c83e52efa30b4027"/>
  <x:tableParts count="1">
    <x:tablePart xmlns:r="http://schemas.openxmlformats.org/officeDocument/2006/relationships" r:id="R8463e005494746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28" hidden="0" customWidth="1"/>
    <x:col min="5" max="5" width="28" hidden="0" customWidth="1"/>
    <x:col min="6" max="6" width="24" hidden="0" customWidth="1"/>
    <x:col min="7" max="7" width="32" hidden="0" customWidth="1"/>
    <x:col min="8" max="8" width="24" hidden="0" customWidth="1"/>
    <x:col min="9" max="9" width="22" hidden="0" customWidth="1"/>
    <x:col min="10" max="10" width="28" hidden="0" customWidth="1"/>
    <x:col min="11" max="11" width="18" hidden="0" customWidth="1"/>
    <x:col min="12" max="12" width="32" hidden="0" customWidth="1"/>
  </x:cols>
  <x:sheetData>
    <x:row r="1" ht="28" customHeight="1">
      <x:c r="A1" s="48" t="str">
        <x:v>Glossary &amp; Implementation Notes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3">
      <x:c r="A3" s="16" t="str">
        <x:v>Term</x:v>
      </x:c>
      <x:c r="B3" s="16" t="str">
        <x:v>Meaning</x:v>
      </x:c>
      <x:c r="C3" s="16" t="str">
        <x:v>Best Use</x:v>
      </x:c>
      <x:c r="D3" s="16" t="str">
        <x:v>Notes</x:v>
      </x:c>
    </x:row>
    <x:row r="4">
      <x:c r="A4" s="30" t="str">
        <x:v>CPR</x:v>
      </x:c>
      <x:c r="B4" s="10" t="str">
        <x:v>Central Pivot Range</x:v>
      </x:c>
      <x:c r="C4" s="10" t="str">
        <x:v>Equilibrium/value area proxy</x:v>
      </x:c>
      <x:c r="D4" s="10" t="str">
        <x:v>Use daily/weekly/monthly.</x:v>
      </x:c>
    </x:row>
    <x:row r="5">
      <x:c r="A5" s="30" t="str">
        <x:v>BC</x:v>
      </x:c>
      <x:c r="B5" s="10" t="str">
        <x:v>Bottom Central</x:v>
      </x:c>
      <x:c r="C5" s="10" t="str">
        <x:v>Lower CPR boundary</x:v>
      </x:c>
      <x:c r="D5" s="10" t="str">
        <x:v>Formula: (H+L)/2.</x:v>
      </x:c>
    </x:row>
    <x:row r="6">
      <x:c r="A6" s="30" t="str">
        <x:v>TC</x:v>
      </x:c>
      <x:c r="B6" s="10" t="str">
        <x:v>Top Central</x:v>
      </x:c>
      <x:c r="C6" s="10" t="str">
        <x:v>Upper CPR boundary</x:v>
      </x:c>
      <x:c r="D6" s="10" t="str">
        <x:v>Formula: 2P-BC.</x:v>
      </x:c>
    </x:row>
    <x:row r="7">
      <x:c r="A7" s="30" t="str">
        <x:v>PDH/PDL</x:v>
      </x:c>
      <x:c r="B7" s="10" t="str">
        <x:v>Previous period high/low</x:v>
      </x:c>
      <x:c r="C7" s="10" t="str">
        <x:v>Liquidity and breakout zones</x:v>
      </x:c>
      <x:c r="D7" s="10" t="str">
        <x:v>Can be daily/weekly/monthly.</x:v>
      </x:c>
    </x:row>
    <x:row r="8">
      <x:c r="A8" s="30" t="str">
        <x:v>DPZ</x:v>
      </x:c>
      <x:c r="B8" s="10" t="str">
        <x:v>Double Pivot Zone</x:v>
      </x:c>
      <x:c r="C8" s="10" t="str">
        <x:v>Generic pivot confluence</x:v>
      </x:c>
      <x:c r="D8" s="10" t="str">
        <x:v>Use ATR dilation and role compatibility.</x:v>
      </x:c>
    </x:row>
    <x:row r="9">
      <x:c r="A9" s="30" t="str">
        <x:v>GPZ</x:v>
      </x:c>
      <x:c r="B9" s="10" t="str">
        <x:v>Golden Pivot Zone</x:v>
      </x:c>
      <x:c r="C9" s="10" t="str">
        <x:v>Money Zone + Cam H3/L3</x:v>
      </x:c>
      <x:c r="D9" s="10" t="str">
        <x:v>Responsive/pullback continuation.</x:v>
      </x:c>
    </x:row>
    <x:row r="10">
      <x:c r="A10" s="30" t="str">
        <x:v>MTZ</x:v>
      </x:c>
      <x:c r="B10" s="10" t="str">
        <x:v>Multiple Timeframe Zone</x:v>
      </x:c>
      <x:c r="C10" s="10" t="str">
        <x:v>Multi-timeframe confluence</x:v>
      </x:c>
      <x:c r="D10" s="10" t="str">
        <x:v>Major zones worth highlighting.</x:v>
      </x:c>
    </x:row>
    <x:row r="11">
      <x:c r="A11" s="30" t="str">
        <x:v>FVR</x:v>
      </x:c>
      <x:c r="B11" s="10" t="str">
        <x:v>Failed Value Reacceptance</x:v>
      </x:c>
      <x:c r="C11" s="10" t="str">
        <x:v>Old value sweep before continuation</x:v>
      </x:c>
      <x:c r="D11" s="10" t="str">
        <x:v>Great for session plan and replay.</x:v>
      </x:c>
    </x:row>
    <x:row r="12">
      <x:c r="A12" s="30" t="str">
        <x:v>ATR Dilation</x:v>
      </x:c>
      <x:c r="B12" s="10" t="str">
        <x:v>Turns a pivot line into a zone</x:v>
      </x:c>
      <x:c r="C12" s="10" t="str">
        <x:v>Overlap detection</x:v>
      </x:c>
      <x:c r="D12" s="10" t="str">
        <x:v>Different factors by timeframe.</x:v>
      </x:c>
    </x:row>
    <x:row r="13">
      <x:c r="A13" s="30" t="str">
        <x:v>H3/L3</x:v>
      </x:c>
      <x:c r="B13" s="10" t="str">
        <x:v>Camarilla responsive levels</x:v>
      </x:c>
      <x:c r="C13" s="10" t="str">
        <x:v>Mean reversion / GPZ</x:v>
      </x:c>
      <x:c r="D13" s="10" t="str">
        <x:v>Not primary expansion DPZ.</x:v>
      </x:c>
    </x:row>
    <x:row r="14">
      <x:c r="A14" s="30" t="str">
        <x:v>H4/L4</x:v>
      </x:c>
      <x:c r="B14" s="10" t="str">
        <x:v>Camarilla breakout levels</x:v>
      </x:c>
      <x:c r="C14" s="10" t="str">
        <x:v>Expansion DPZ</x:v>
      </x:c>
      <x:c r="D14" s="10" t="str">
        <x:v>Pair with R2/S2.</x:v>
      </x:c>
    </x:row>
    <x:row r="15">
      <x:c r="A15" s="30" t="str">
        <x:v>POC/VAH/VAL</x:v>
      </x:c>
      <x:c r="B15" s="10" t="str">
        <x:v>Volume profile value levels</x:v>
      </x:c>
      <x:c r="C15" s="10" t="str">
        <x:v>Institutional value confirmation</x:v>
      </x:c>
      <x:c r="D15" s="10" t="str">
        <x:v>Optional advanced module.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b5eb6f3dfc44b58"/>
  </x:tableParts>
</x:worksheet>
</file>